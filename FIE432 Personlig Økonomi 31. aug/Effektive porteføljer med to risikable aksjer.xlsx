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snf52299\Dropbox\PC\Documents\ECON261\"/>
    </mc:Choice>
  </mc:AlternateContent>
  <xr:revisionPtr revIDLastSave="0" documentId="13_ncr:1_{89635EBA-489C-4A8D-A582-2D4DE3AAB979}" xr6:coauthVersionLast="36" xr6:coauthVersionMax="36" xr10:uidLastSave="{00000000-0000-0000-0000-000000000000}"/>
  <bookViews>
    <workbookView minimized="1" xWindow="0" yWindow="0" windowWidth="0" windowHeight="0" xr2:uid="{00000000-000D-0000-FFFF-FFFF00000000}"/>
  </bookViews>
  <sheets>
    <sheet name="EffektivePorteføljer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9" l="1"/>
  <c r="D10" i="9" s="1"/>
  <c r="D9" i="9"/>
  <c r="E10" i="9"/>
  <c r="E9" i="9"/>
  <c r="A11" i="9" l="1"/>
  <c r="D11" i="9" l="1"/>
  <c r="E11" i="9"/>
  <c r="A12" i="9"/>
  <c r="A13" i="9" l="1"/>
  <c r="E12" i="9"/>
  <c r="D12" i="9"/>
  <c r="A14" i="9" l="1"/>
  <c r="E13" i="9"/>
  <c r="D13" i="9"/>
  <c r="E14" i="9" l="1"/>
  <c r="A15" i="9"/>
  <c r="D14" i="9"/>
  <c r="E15" i="9" l="1"/>
  <c r="A16" i="9"/>
  <c r="D15" i="9"/>
  <c r="D16" i="9" l="1"/>
  <c r="A17" i="9"/>
  <c r="E16" i="9"/>
  <c r="D17" i="9" l="1"/>
  <c r="A18" i="9"/>
  <c r="E17" i="9"/>
  <c r="D18" i="9" l="1"/>
  <c r="E18" i="9"/>
  <c r="A19" i="9"/>
  <c r="D19" i="9" l="1"/>
  <c r="E19" i="9"/>
  <c r="A20" i="9"/>
  <c r="A21" i="9" l="1"/>
  <c r="D20" i="9"/>
  <c r="E20" i="9"/>
  <c r="A22" i="9" l="1"/>
  <c r="E21" i="9"/>
  <c r="D21" i="9"/>
  <c r="A23" i="9" l="1"/>
  <c r="E22" i="9"/>
  <c r="D22" i="9"/>
  <c r="E23" i="9" l="1"/>
  <c r="A24" i="9"/>
  <c r="D23" i="9"/>
  <c r="D24" i="9" l="1"/>
  <c r="A25" i="9"/>
  <c r="E24" i="9"/>
  <c r="A26" i="9" l="1"/>
  <c r="D25" i="9"/>
  <c r="E25" i="9"/>
  <c r="D26" i="9" l="1"/>
  <c r="A27" i="9"/>
  <c r="E26" i="9"/>
  <c r="D27" i="9" l="1"/>
  <c r="A28" i="9"/>
  <c r="E27" i="9"/>
  <c r="D28" i="9" l="1"/>
  <c r="A29" i="9"/>
  <c r="E28" i="9"/>
  <c r="A30" i="9" l="1"/>
  <c r="D29" i="9"/>
  <c r="E29" i="9"/>
  <c r="A31" i="9" l="1"/>
  <c r="E30" i="9"/>
  <c r="D30" i="9"/>
  <c r="E31" i="9" l="1"/>
  <c r="A32" i="9"/>
  <c r="D31" i="9"/>
  <c r="A33" i="9" l="1"/>
  <c r="E32" i="9"/>
  <c r="D32" i="9"/>
  <c r="E33" i="9" l="1"/>
  <c r="D33" i="9"/>
  <c r="A34" i="9"/>
  <c r="D34" i="9" l="1"/>
  <c r="E34" i="9"/>
  <c r="A35" i="9"/>
  <c r="D35" i="9" l="1"/>
  <c r="E35" i="9"/>
  <c r="A36" i="9"/>
  <c r="A37" i="9" l="1"/>
  <c r="D36" i="9"/>
  <c r="E36" i="9"/>
  <c r="A38" i="9" l="1"/>
  <c r="D37" i="9"/>
  <c r="E37" i="9"/>
  <c r="A39" i="9" l="1"/>
  <c r="E38" i="9"/>
  <c r="D38" i="9"/>
  <c r="E39" i="9" l="1"/>
  <c r="A40" i="9"/>
  <c r="D39" i="9"/>
  <c r="A41" i="9" l="1"/>
  <c r="E40" i="9"/>
  <c r="D40" i="9"/>
  <c r="A42" i="9" l="1"/>
  <c r="E41" i="9"/>
  <c r="D41" i="9"/>
  <c r="D42" i="9" l="1"/>
  <c r="A43" i="9"/>
  <c r="E42" i="9"/>
  <c r="D43" i="9" l="1"/>
  <c r="E43" i="9"/>
  <c r="A44" i="9"/>
  <c r="E44" i="9" l="1"/>
  <c r="A45" i="9"/>
  <c r="D44" i="9"/>
  <c r="A46" i="9" l="1"/>
  <c r="D45" i="9"/>
  <c r="E45" i="9"/>
  <c r="A47" i="9" l="1"/>
  <c r="E46" i="9"/>
  <c r="D46" i="9"/>
  <c r="E47" i="9" l="1"/>
  <c r="A48" i="9"/>
  <c r="D47" i="9"/>
  <c r="D48" i="9" l="1"/>
  <c r="A49" i="9"/>
  <c r="E48" i="9"/>
  <c r="D49" i="9" l="1"/>
  <c r="A50" i="9"/>
  <c r="E49" i="9"/>
  <c r="D50" i="9" l="1"/>
  <c r="A51" i="9"/>
  <c r="E50" i="9"/>
  <c r="D51" i="9" l="1"/>
  <c r="A52" i="9"/>
  <c r="E51" i="9"/>
  <c r="E52" i="9" l="1"/>
  <c r="A53" i="9"/>
  <c r="D52" i="9"/>
  <c r="A54" i="9" l="1"/>
  <c r="E53" i="9"/>
  <c r="D53" i="9"/>
  <c r="A55" i="9" l="1"/>
  <c r="E54" i="9"/>
  <c r="D54" i="9"/>
  <c r="E55" i="9" l="1"/>
  <c r="A56" i="9"/>
  <c r="D55" i="9"/>
  <c r="A57" i="9" l="1"/>
  <c r="D56" i="9"/>
  <c r="E56" i="9"/>
  <c r="D57" i="9" l="1"/>
  <c r="E57" i="9"/>
  <c r="A58" i="9"/>
  <c r="D58" i="9" l="1"/>
  <c r="A59" i="9"/>
  <c r="E58" i="9"/>
  <c r="D59" i="9" l="1"/>
  <c r="A60" i="9"/>
  <c r="E59" i="9"/>
  <c r="D60" i="9" l="1"/>
  <c r="E60" i="9"/>
  <c r="A61" i="9"/>
  <c r="A62" i="9" l="1"/>
  <c r="D61" i="9"/>
  <c r="E61" i="9"/>
  <c r="A63" i="9" l="1"/>
  <c r="E62" i="9"/>
  <c r="D62" i="9"/>
  <c r="E63" i="9" l="1"/>
  <c r="A64" i="9"/>
  <c r="D63" i="9"/>
  <c r="A65" i="9" l="1"/>
  <c r="E64" i="9"/>
  <c r="D64" i="9"/>
  <c r="E65" i="9" l="1"/>
  <c r="A66" i="9"/>
  <c r="D65" i="9"/>
  <c r="D66" i="9" l="1"/>
  <c r="A67" i="9"/>
  <c r="E66" i="9"/>
  <c r="D67" i="9" l="1"/>
  <c r="A68" i="9"/>
  <c r="E67" i="9"/>
  <c r="D68" i="9" l="1"/>
  <c r="A69" i="9"/>
  <c r="E68" i="9"/>
  <c r="A70" i="9" l="1"/>
  <c r="D69" i="9"/>
  <c r="E69" i="9"/>
  <c r="A71" i="9" l="1"/>
  <c r="E70" i="9"/>
  <c r="D70" i="9"/>
  <c r="E71" i="9" l="1"/>
  <c r="A72" i="9"/>
  <c r="D71" i="9"/>
  <c r="E72" i="9" l="1"/>
  <c r="D72" i="9"/>
  <c r="A73" i="9"/>
  <c r="E73" i="9" l="1"/>
  <c r="A74" i="9"/>
  <c r="D73" i="9"/>
  <c r="D74" i="9" l="1"/>
  <c r="E74" i="9"/>
  <c r="A75" i="9"/>
  <c r="D75" i="9" l="1"/>
  <c r="A76" i="9"/>
  <c r="E75" i="9"/>
  <c r="A77" i="9" l="1"/>
  <c r="E76" i="9"/>
  <c r="D76" i="9"/>
  <c r="A78" i="9" l="1"/>
  <c r="D77" i="9"/>
  <c r="E77" i="9"/>
  <c r="A79" i="9" l="1"/>
  <c r="E78" i="9"/>
  <c r="D78" i="9"/>
  <c r="E79" i="9" l="1"/>
  <c r="A80" i="9"/>
  <c r="D79" i="9"/>
  <c r="D80" i="9" l="1"/>
  <c r="A81" i="9"/>
  <c r="E80" i="9"/>
  <c r="D81" i="9" l="1"/>
  <c r="A82" i="9"/>
  <c r="E81" i="9"/>
  <c r="D82" i="9" l="1"/>
  <c r="E82" i="9"/>
  <c r="A83" i="9"/>
  <c r="D83" i="9" l="1"/>
  <c r="E83" i="9"/>
  <c r="A84" i="9"/>
  <c r="E84" i="9" l="1"/>
  <c r="D84" i="9"/>
  <c r="A85" i="9"/>
  <c r="A86" i="9" l="1"/>
  <c r="E85" i="9"/>
  <c r="D85" i="9"/>
  <c r="A87" i="9" l="1"/>
  <c r="E86" i="9"/>
  <c r="D86" i="9"/>
  <c r="E87" i="9" l="1"/>
  <c r="A88" i="9"/>
  <c r="D87" i="9"/>
  <c r="D88" i="9" l="1"/>
  <c r="A89" i="9"/>
  <c r="E88" i="9"/>
  <c r="A90" i="9" l="1"/>
  <c r="D89" i="9"/>
  <c r="E89" i="9"/>
  <c r="D90" i="9" l="1"/>
  <c r="A91" i="9"/>
  <c r="E90" i="9"/>
  <c r="D91" i="9" l="1"/>
  <c r="A92" i="9"/>
  <c r="E91" i="9"/>
  <c r="D92" i="9" l="1"/>
  <c r="A93" i="9"/>
  <c r="E92" i="9"/>
  <c r="A94" i="9" l="1"/>
  <c r="D93" i="9"/>
  <c r="E93" i="9"/>
  <c r="A95" i="9" l="1"/>
  <c r="E94" i="9"/>
  <c r="D94" i="9"/>
  <c r="E95" i="9" l="1"/>
  <c r="A96" i="9"/>
  <c r="D95" i="9"/>
  <c r="E96" i="9" l="1"/>
  <c r="A97" i="9"/>
  <c r="D96" i="9"/>
  <c r="E97" i="9" l="1"/>
  <c r="D97" i="9"/>
  <c r="A98" i="9"/>
  <c r="D98" i="9" l="1"/>
  <c r="E98" i="9"/>
  <c r="A99" i="9"/>
  <c r="D99" i="9" l="1"/>
  <c r="E99" i="9"/>
  <c r="A100" i="9"/>
  <c r="A101" i="9" l="1"/>
  <c r="D100" i="9"/>
  <c r="E100" i="9"/>
  <c r="A102" i="9" l="1"/>
  <c r="D101" i="9"/>
  <c r="E101" i="9"/>
  <c r="A103" i="9" l="1"/>
  <c r="E102" i="9"/>
  <c r="D102" i="9"/>
  <c r="E103" i="9" l="1"/>
  <c r="A104" i="9"/>
  <c r="D103" i="9"/>
  <c r="A105" i="9" l="1"/>
  <c r="E104" i="9"/>
  <c r="D104" i="9"/>
  <c r="A106" i="9" l="1"/>
  <c r="E105" i="9"/>
  <c r="D105" i="9"/>
  <c r="D106" i="9" l="1"/>
  <c r="E106" i="9"/>
  <c r="A107" i="9"/>
  <c r="D107" i="9" l="1"/>
  <c r="E107" i="9"/>
  <c r="A108" i="9"/>
  <c r="D108" i="9" l="1"/>
  <c r="E108" i="9"/>
</calcChain>
</file>

<file path=xl/sharedStrings.xml><?xml version="1.0" encoding="utf-8"?>
<sst xmlns="http://schemas.openxmlformats.org/spreadsheetml/2006/main" count="8" uniqueCount="8">
  <si>
    <t>ForventningAksje1</t>
  </si>
  <si>
    <t>ForventningAksje2</t>
  </si>
  <si>
    <t>StandardavvikAksje1</t>
  </si>
  <si>
    <t>StandardavvikAksje2</t>
  </si>
  <si>
    <t>Korrelasjon</t>
  </si>
  <si>
    <t>AndelAksje2</t>
  </si>
  <si>
    <t>StandardavvikPortefølje</t>
  </si>
  <si>
    <t>ForventningPortefølje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</si>
</sst>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Forventning og standardavvik</a:t>
            </a:r>
            <a:r>
              <a:rPr lang="en-US" baseline="0"/>
              <a:t> til portefølje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EffektivePorteføljer!$E$8</c:f>
              <c:strCache>
                <c:ptCount val="1"/>
                <c:pt idx="0">
                  <c:v>ForventningPortefølje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EffektivePorteføljer!$D$9:$D$108</c:f>
              <c:numCache>
                <c:formatCode>General</c:formatCode>
                <c:ptCount val="100"/>
                <c:pt idx="0">
                  <c:v>1</c:v>
                </c:pt>
                <c:pt idx="1">
                  <c:v>0.9801530492734285</c:v>
                </c:pt>
                <c:pt idx="2">
                  <c:v>0.96062479668182621</c:v>
                </c:pt>
                <c:pt idx="3">
                  <c:v>0.94143507476617838</c:v>
                </c:pt>
                <c:pt idx="4">
                  <c:v>0.92260500757366359</c:v>
                </c:pt>
                <c:pt idx="5">
                  <c:v>0.90415706600125623</c:v>
                </c:pt>
                <c:pt idx="6">
                  <c:v>0.88611511667502885</c:v>
                </c:pt>
                <c:pt idx="7">
                  <c:v>0.86850446170414108</c:v>
                </c:pt>
                <c:pt idx="8">
                  <c:v>0.85135186615171055</c:v>
                </c:pt>
                <c:pt idx="9">
                  <c:v>0.83468556954100992</c:v>
                </c:pt>
                <c:pt idx="10">
                  <c:v>0.81853527718724506</c:v>
                </c:pt>
                <c:pt idx="11">
                  <c:v>0.80293212664583302</c:v>
                </c:pt>
                <c:pt idx="12">
                  <c:v>0.78790862414368834</c:v>
                </c:pt>
                <c:pt idx="13">
                  <c:v>0.77349854557070763</c:v>
                </c:pt>
                <c:pt idx="14">
                  <c:v>0.75973679652890314</c:v>
                </c:pt>
                <c:pt idx="15">
                  <c:v>0.74665922615340385</c:v>
                </c:pt>
                <c:pt idx="16">
                  <c:v>0.73430239002743269</c:v>
                </c:pt>
                <c:pt idx="17">
                  <c:v>0.72270325860618612</c:v>
                </c:pt>
                <c:pt idx="18">
                  <c:v>0.71189886922230738</c:v>
                </c:pt>
                <c:pt idx="19">
                  <c:v>0.70192592201741633</c:v>
                </c:pt>
                <c:pt idx="20">
                  <c:v>0.69282032302755081</c:v>
                </c:pt>
                <c:pt idx="21">
                  <c:v>0.68461668107050966</c:v>
                </c:pt>
                <c:pt idx="22">
                  <c:v>0.67734776887504389</c:v>
                </c:pt>
                <c:pt idx="23">
                  <c:v>0.6710439627923046</c:v>
                </c:pt>
                <c:pt idx="24">
                  <c:v>0.66573267908372946</c:v>
                </c:pt>
                <c:pt idx="25">
                  <c:v>0.66143782776614768</c:v>
                </c:pt>
                <c:pt idx="26">
                  <c:v>0.65817930687617332</c:v>
                </c:pt>
                <c:pt idx="27">
                  <c:v>0.65597256040172891</c:v>
                </c:pt>
                <c:pt idx="28">
                  <c:v>0.65482822174979594</c:v>
                </c:pt>
                <c:pt idx="29">
                  <c:v>0.65475186139483421</c:v>
                </c:pt>
                <c:pt idx="30">
                  <c:v>0.65574385243020017</c:v>
                </c:pt>
                <c:pt idx="31">
                  <c:v>0.65779936150774743</c:v>
                </c:pt>
                <c:pt idx="32">
                  <c:v>0.66090846567433226</c:v>
                </c:pt>
                <c:pt idx="33">
                  <c:v>0.66505638858671234</c:v>
                </c:pt>
                <c:pt idx="34">
                  <c:v>0.67022384320464168</c:v>
                </c:pt>
                <c:pt idx="35">
                  <c:v>0.67638746292343432</c:v>
                </c:pt>
                <c:pt idx="36">
                  <c:v>0.68352029962540262</c:v>
                </c:pt>
                <c:pt idx="37">
                  <c:v>0.69159236548706948</c:v>
                </c:pt>
                <c:pt idx="38">
                  <c:v>0.70057119552547997</c:v>
                </c:pt>
                <c:pt idx="39">
                  <c:v>0.71042240955645564</c:v>
                </c:pt>
                <c:pt idx="40">
                  <c:v>0.72111025509279814</c:v>
                </c:pt>
                <c:pt idx="41">
                  <c:v>0.73259811629569493</c:v>
                </c:pt>
                <c:pt idx="42">
                  <c:v>0.74484897798144312</c:v>
                </c:pt>
                <c:pt idx="43">
                  <c:v>0.7578258375114959</c:v>
                </c:pt>
                <c:pt idx="44">
                  <c:v>0.77149206087943667</c:v>
                </c:pt>
                <c:pt idx="45">
                  <c:v>0.78581168227508591</c:v>
                </c:pt>
                <c:pt idx="46">
                  <c:v>0.80074964876670451</c:v>
                </c:pt>
                <c:pt idx="47">
                  <c:v>0.81627201348570111</c:v>
                </c:pt>
                <c:pt idx="48">
                  <c:v>0.8323460818673929</c:v>
                </c:pt>
                <c:pt idx="49">
                  <c:v>0.84894051617295352</c:v>
                </c:pt>
                <c:pt idx="50">
                  <c:v>0.86602540378443904</c:v>
                </c:pt>
                <c:pt idx="51">
                  <c:v>0.88357229472183008</c:v>
                </c:pt>
                <c:pt idx="52">
                  <c:v>0.90155421356677201</c:v>
                </c:pt>
                <c:pt idx="53">
                  <c:v>0.91994565056855448</c:v>
                </c:pt>
                <c:pt idx="54">
                  <c:v>0.93872253621610746</c:v>
                </c:pt>
                <c:pt idx="55">
                  <c:v>0.9578622030334013</c:v>
                </c:pt>
                <c:pt idx="56">
                  <c:v>0.97734333782964988</c:v>
                </c:pt>
                <c:pt idx="57">
                  <c:v>0.99714592713403838</c:v>
                </c:pt>
                <c:pt idx="58">
                  <c:v>1.0172511980823622</c:v>
                </c:pt>
                <c:pt idx="59">
                  <c:v>1.0376415566080617</c:v>
                </c:pt>
                <c:pt idx="60">
                  <c:v>1.058300524425837</c:v>
                </c:pt>
                <c:pt idx="61">
                  <c:v>1.0792126759818943</c:v>
                </c:pt>
                <c:pt idx="62">
                  <c:v>1.1003635762783142</c:v>
                </c:pt>
                <c:pt idx="63">
                  <c:v>1.1217397202559967</c:v>
                </c:pt>
                <c:pt idx="64">
                  <c:v>1.1433284742365168</c:v>
                </c:pt>
                <c:pt idx="65">
                  <c:v>1.1651180197731053</c:v>
                </c:pt>
                <c:pt idx="66">
                  <c:v>1.1870973001401368</c:v>
                </c:pt>
                <c:pt idx="67">
                  <c:v>1.209255969594528</c:v>
                </c:pt>
                <c:pt idx="68">
                  <c:v>1.231584345467253</c:v>
                </c:pt>
                <c:pt idx="69">
                  <c:v>1.2540733630852712</c:v>
                </c:pt>
                <c:pt idx="70">
                  <c:v>1.2767145334803713</c:v>
                </c:pt>
                <c:pt idx="71">
                  <c:v>1.2994999038091546</c:v>
                </c:pt>
                <c:pt idx="72">
                  <c:v>1.3224220203853243</c:v>
                </c:pt>
                <c:pt idx="73">
                  <c:v>1.3454738942097697</c:v>
                </c:pt>
                <c:pt idx="74">
                  <c:v>1.3686489688740509</c:v>
                </c:pt>
                <c:pt idx="75">
                  <c:v>1.3919410907075065</c:v>
                </c:pt>
                <c:pt idx="76">
                  <c:v>1.4153444810363318</c:v>
                </c:pt>
                <c:pt idx="77">
                  <c:v>1.4388537104236843</c:v>
                </c:pt>
                <c:pt idx="78">
                  <c:v>1.4624636747625575</c:v>
                </c:pt>
                <c:pt idx="79">
                  <c:v>1.4861695730972302</c:v>
                </c:pt>
                <c:pt idx="80">
                  <c:v>1.5099668870541509</c:v>
                </c:pt>
                <c:pt idx="81">
                  <c:v>1.5338513617688005</c:v>
                </c:pt>
                <c:pt idx="82">
                  <c:v>1.5578189882011335</c:v>
                </c:pt>
                <c:pt idx="83">
                  <c:v>1.5818659867384479</c:v>
                </c:pt>
                <c:pt idx="84">
                  <c:v>1.6059887919907798</c:v>
                </c:pt>
                <c:pt idx="85">
                  <c:v>1.6301840386901119</c:v>
                </c:pt>
                <c:pt idx="86">
                  <c:v>1.6544485486106857</c:v>
                </c:pt>
                <c:pt idx="87">
                  <c:v>1.6787793184334874</c:v>
                </c:pt>
                <c:pt idx="88">
                  <c:v>1.7031735084835029</c:v>
                </c:pt>
                <c:pt idx="89">
                  <c:v>1.7276284322735618</c:v>
                </c:pt>
                <c:pt idx="90">
                  <c:v>1.7521415467935246</c:v>
                </c:pt>
                <c:pt idx="91">
                  <c:v>1.7767104434881913</c:v>
                </c:pt>
                <c:pt idx="92">
                  <c:v>1.8013328398716337</c:v>
                </c:pt>
                <c:pt idx="93">
                  <c:v>1.8260065717296874</c:v>
                </c:pt>
                <c:pt idx="94">
                  <c:v>1.8507295858660728</c:v>
                </c:pt>
                <c:pt idx="95">
                  <c:v>1.8754999333511067</c:v>
                </c:pt>
                <c:pt idx="96">
                  <c:v>1.9003157632351539</c:v>
                </c:pt>
                <c:pt idx="97">
                  <c:v>1.9251753166919647</c:v>
                </c:pt>
                <c:pt idx="98">
                  <c:v>1.950076921559764</c:v>
                </c:pt>
                <c:pt idx="99">
                  <c:v>1.975018987250504</c:v>
                </c:pt>
              </c:numCache>
            </c:numRef>
          </c:xVal>
          <c:yVal>
            <c:numRef>
              <c:f>EffektivePorteføljer!$E$9:$E$108</c:f>
              <c:numCache>
                <c:formatCode>General</c:formatCode>
                <c:ptCount val="100"/>
                <c:pt idx="0">
                  <c:v>2</c:v>
                </c:pt>
                <c:pt idx="1">
                  <c:v>1.99</c:v>
                </c:pt>
                <c:pt idx="2">
                  <c:v>1.98</c:v>
                </c:pt>
                <c:pt idx="3">
                  <c:v>1.97</c:v>
                </c:pt>
                <c:pt idx="4">
                  <c:v>1.96</c:v>
                </c:pt>
                <c:pt idx="5">
                  <c:v>1.95</c:v>
                </c:pt>
                <c:pt idx="6">
                  <c:v>1.94</c:v>
                </c:pt>
                <c:pt idx="7">
                  <c:v>1.93</c:v>
                </c:pt>
                <c:pt idx="8">
                  <c:v>1.9200000000000002</c:v>
                </c:pt>
                <c:pt idx="9">
                  <c:v>1.9100000000000001</c:v>
                </c:pt>
                <c:pt idx="10">
                  <c:v>1.9000000000000001</c:v>
                </c:pt>
                <c:pt idx="11">
                  <c:v>1.8900000000000001</c:v>
                </c:pt>
                <c:pt idx="12">
                  <c:v>1.88</c:v>
                </c:pt>
                <c:pt idx="13">
                  <c:v>1.8699999999999999</c:v>
                </c:pt>
                <c:pt idx="14">
                  <c:v>1.8599999999999999</c:v>
                </c:pt>
                <c:pt idx="15">
                  <c:v>1.8499999999999999</c:v>
                </c:pt>
                <c:pt idx="16">
                  <c:v>1.8399999999999999</c:v>
                </c:pt>
                <c:pt idx="17">
                  <c:v>1.8299999999999998</c:v>
                </c:pt>
                <c:pt idx="18">
                  <c:v>1.8199999999999998</c:v>
                </c:pt>
                <c:pt idx="19">
                  <c:v>1.8099999999999998</c:v>
                </c:pt>
                <c:pt idx="20">
                  <c:v>1.7999999999999998</c:v>
                </c:pt>
                <c:pt idx="21">
                  <c:v>1.7899999999999998</c:v>
                </c:pt>
                <c:pt idx="22">
                  <c:v>1.7799999999999998</c:v>
                </c:pt>
                <c:pt idx="23">
                  <c:v>1.7699999999999998</c:v>
                </c:pt>
                <c:pt idx="24">
                  <c:v>1.7599999999999998</c:v>
                </c:pt>
                <c:pt idx="25">
                  <c:v>1.75</c:v>
                </c:pt>
                <c:pt idx="26">
                  <c:v>1.74</c:v>
                </c:pt>
                <c:pt idx="27">
                  <c:v>1.73</c:v>
                </c:pt>
                <c:pt idx="28">
                  <c:v>1.72</c:v>
                </c:pt>
                <c:pt idx="29">
                  <c:v>1.71</c:v>
                </c:pt>
                <c:pt idx="30">
                  <c:v>1.7</c:v>
                </c:pt>
                <c:pt idx="31">
                  <c:v>1.69</c:v>
                </c:pt>
                <c:pt idx="32">
                  <c:v>1.68</c:v>
                </c:pt>
                <c:pt idx="33">
                  <c:v>1.67</c:v>
                </c:pt>
                <c:pt idx="34">
                  <c:v>1.66</c:v>
                </c:pt>
                <c:pt idx="35">
                  <c:v>1.65</c:v>
                </c:pt>
                <c:pt idx="36">
                  <c:v>1.64</c:v>
                </c:pt>
                <c:pt idx="37">
                  <c:v>1.63</c:v>
                </c:pt>
                <c:pt idx="38">
                  <c:v>1.6199999999999999</c:v>
                </c:pt>
                <c:pt idx="39">
                  <c:v>1.6099999999999999</c:v>
                </c:pt>
                <c:pt idx="40">
                  <c:v>1.5999999999999999</c:v>
                </c:pt>
                <c:pt idx="41">
                  <c:v>1.5899999999999999</c:v>
                </c:pt>
                <c:pt idx="42">
                  <c:v>1.5799999999999998</c:v>
                </c:pt>
                <c:pt idx="43">
                  <c:v>1.5699999999999998</c:v>
                </c:pt>
                <c:pt idx="44">
                  <c:v>1.5599999999999998</c:v>
                </c:pt>
                <c:pt idx="45">
                  <c:v>1.5499999999999998</c:v>
                </c:pt>
                <c:pt idx="46">
                  <c:v>1.5399999999999998</c:v>
                </c:pt>
                <c:pt idx="47">
                  <c:v>1.5299999999999998</c:v>
                </c:pt>
                <c:pt idx="48">
                  <c:v>1.5199999999999998</c:v>
                </c:pt>
                <c:pt idx="49">
                  <c:v>1.5099999999999998</c:v>
                </c:pt>
                <c:pt idx="50">
                  <c:v>1.4999999999999998</c:v>
                </c:pt>
                <c:pt idx="51">
                  <c:v>1.4899999999999998</c:v>
                </c:pt>
                <c:pt idx="52">
                  <c:v>1.4799999999999998</c:v>
                </c:pt>
                <c:pt idx="53">
                  <c:v>1.4699999999999998</c:v>
                </c:pt>
                <c:pt idx="54">
                  <c:v>1.4599999999999997</c:v>
                </c:pt>
                <c:pt idx="55">
                  <c:v>1.4499999999999997</c:v>
                </c:pt>
                <c:pt idx="56">
                  <c:v>1.4399999999999997</c:v>
                </c:pt>
                <c:pt idx="57">
                  <c:v>1.4299999999999997</c:v>
                </c:pt>
                <c:pt idx="58">
                  <c:v>1.4199999999999997</c:v>
                </c:pt>
                <c:pt idx="59">
                  <c:v>1.4099999999999997</c:v>
                </c:pt>
                <c:pt idx="60">
                  <c:v>1.3999999999999997</c:v>
                </c:pt>
                <c:pt idx="61">
                  <c:v>1.3899999999999997</c:v>
                </c:pt>
                <c:pt idx="62">
                  <c:v>1.3799999999999997</c:v>
                </c:pt>
                <c:pt idx="63">
                  <c:v>1.3699999999999997</c:v>
                </c:pt>
                <c:pt idx="64">
                  <c:v>1.3599999999999997</c:v>
                </c:pt>
                <c:pt idx="65">
                  <c:v>1.3499999999999996</c:v>
                </c:pt>
                <c:pt idx="66">
                  <c:v>1.3399999999999996</c:v>
                </c:pt>
                <c:pt idx="67">
                  <c:v>1.3299999999999996</c:v>
                </c:pt>
                <c:pt idx="68">
                  <c:v>1.3199999999999996</c:v>
                </c:pt>
                <c:pt idx="69">
                  <c:v>1.3099999999999996</c:v>
                </c:pt>
                <c:pt idx="70">
                  <c:v>1.2999999999999996</c:v>
                </c:pt>
                <c:pt idx="71">
                  <c:v>1.2899999999999996</c:v>
                </c:pt>
                <c:pt idx="72">
                  <c:v>1.2799999999999996</c:v>
                </c:pt>
                <c:pt idx="73">
                  <c:v>1.2699999999999996</c:v>
                </c:pt>
                <c:pt idx="74">
                  <c:v>1.2599999999999996</c:v>
                </c:pt>
                <c:pt idx="75">
                  <c:v>1.2499999999999996</c:v>
                </c:pt>
                <c:pt idx="76">
                  <c:v>1.2399999999999995</c:v>
                </c:pt>
                <c:pt idx="77">
                  <c:v>1.2299999999999995</c:v>
                </c:pt>
                <c:pt idx="78">
                  <c:v>1.2199999999999995</c:v>
                </c:pt>
                <c:pt idx="79">
                  <c:v>1.2099999999999995</c:v>
                </c:pt>
                <c:pt idx="80">
                  <c:v>1.1999999999999995</c:v>
                </c:pt>
                <c:pt idx="81">
                  <c:v>1.1899999999999995</c:v>
                </c:pt>
                <c:pt idx="82">
                  <c:v>1.1799999999999995</c:v>
                </c:pt>
                <c:pt idx="83">
                  <c:v>1.1699999999999995</c:v>
                </c:pt>
                <c:pt idx="84">
                  <c:v>1.1599999999999995</c:v>
                </c:pt>
                <c:pt idx="85">
                  <c:v>1.1499999999999995</c:v>
                </c:pt>
                <c:pt idx="86">
                  <c:v>1.1399999999999995</c:v>
                </c:pt>
                <c:pt idx="87">
                  <c:v>1.1299999999999994</c:v>
                </c:pt>
                <c:pt idx="88">
                  <c:v>1.1199999999999994</c:v>
                </c:pt>
                <c:pt idx="89">
                  <c:v>1.1099999999999994</c:v>
                </c:pt>
                <c:pt idx="90">
                  <c:v>1.0999999999999994</c:v>
                </c:pt>
                <c:pt idx="91">
                  <c:v>1.0899999999999994</c:v>
                </c:pt>
                <c:pt idx="92">
                  <c:v>1.0799999999999994</c:v>
                </c:pt>
                <c:pt idx="93">
                  <c:v>1.0699999999999994</c:v>
                </c:pt>
                <c:pt idx="94">
                  <c:v>1.0599999999999994</c:v>
                </c:pt>
                <c:pt idx="95">
                  <c:v>1.0499999999999994</c:v>
                </c:pt>
                <c:pt idx="96">
                  <c:v>1.0399999999999994</c:v>
                </c:pt>
                <c:pt idx="97">
                  <c:v>1.0299999999999994</c:v>
                </c:pt>
                <c:pt idx="98">
                  <c:v>1.0199999999999994</c:v>
                </c:pt>
                <c:pt idx="99">
                  <c:v>1.0099999999999993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9B-4F44-B187-BAF4B14A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60200"/>
        <c:axId val="649762824"/>
      </c:scatterChart>
      <c:valAx>
        <c:axId val="64976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9762824"/>
        <c:crosses val="autoZero"/>
        <c:crossBetween val="midCat"/>
      </c:valAx>
      <c:valAx>
        <c:axId val="64976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49760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53975</xdr:colOff>
      <xdr:row>15</xdr:row>
      <xdr:rowOff>98425</xdr:rowOff>
    </xdr:from>
    <xdr:to>
      <xdr:col>18</xdr:col>
      <xdr:colOff>358775</xdr:colOff>
      <xdr:row>30</xdr:row>
      <xdr:rowOff>79375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B5" sqref="B5"/>
    </sheetView>
  </sheetViews>
  <sheetFormatPr defaultRowHeight="15" x14ac:dyDescent="0.25"/>
  <cols>
    <col min="1" max="1" width="16.85546875" customWidth="1"/>
  </cols>
  <sheetData>
    <row r="1" spans="1:5" x14ac:dyDescent="0.25">
      <c r="A1" t="s">
        <v>0</v>
      </c>
      <c r="B1">
        <v>1</v>
      </c>
    </row>
    <row r="2" spans="1:5" x14ac:dyDescent="0.25">
      <c r="A2" t="s">
        <v>1</v>
      </c>
      <c r="B2">
        <v>2</v>
      </c>
    </row>
    <row r="3" spans="1:5" x14ac:dyDescent="0.25">
      <c r="A3" t="s">
        <v>2</v>
      </c>
      <c r="B3">
        <v>2</v>
      </c>
    </row>
    <row r="4" spans="1:5" x14ac:dyDescent="0.25">
      <c r="A4" t="s">
        <v>3</v>
      </c>
      <c r="B4">
        <v>1</v>
      </c>
    </row>
    <row r="5" spans="1:5" x14ac:dyDescent="0.25">
      <c r="A5" t="s">
        <v>4</v>
      </c>
      <c r="B5">
        <v>-0.5</v>
      </c>
    </row>
    <row r="8" spans="1:5" x14ac:dyDescent="0.25">
      <c r="A8" t="s">
        <v>5</v>
      </c>
      <c r="D8" t="s">
        <v>6</v>
      </c>
      <c r="E8" t="s">
        <v>7</v>
      </c>
    </row>
    <row r="9" spans="1:5" x14ac:dyDescent="0.25">
      <c r="A9">
        <v>0</v>
      </c>
      <c r="D9">
        <f>SQRT(A9^2*$B$3^2+(1-A9)^2*$B$4^2+2*A9*(1-A9)*$B$5*$B$3*$B$4)</f>
        <v>1</v>
      </c>
      <c r="E9">
        <f>A9*$B$1+(1-A9)*$B$2</f>
        <v>2</v>
      </c>
    </row>
    <row r="10" spans="1:5" x14ac:dyDescent="0.25">
      <c r="A10">
        <f>A9+0.01</f>
        <v>0.01</v>
      </c>
      <c r="D10">
        <f t="shared" ref="D10:D73" si="0">SQRT(A10^2*$B$3^2+(1-A10)^2*$B$4^2+2*A10*(1-A10)*$B$5*$B$3*$B$4)</f>
        <v>0.9801530492734285</v>
      </c>
      <c r="E10">
        <f>A10*$B$1+(1-A10)*$B$2</f>
        <v>1.99</v>
      </c>
    </row>
    <row r="11" spans="1:5" x14ac:dyDescent="0.25">
      <c r="A11">
        <f t="shared" ref="A11:A74" si="1">A10+0.01</f>
        <v>0.02</v>
      </c>
      <c r="D11">
        <f t="shared" si="0"/>
        <v>0.96062479668182621</v>
      </c>
      <c r="E11">
        <f t="shared" ref="E11:E74" si="2">A11*$B$1+(1-A11)*$B$2</f>
        <v>1.98</v>
      </c>
    </row>
    <row r="12" spans="1:5" x14ac:dyDescent="0.25">
      <c r="A12">
        <f t="shared" si="1"/>
        <v>0.03</v>
      </c>
      <c r="D12">
        <f t="shared" si="0"/>
        <v>0.94143507476617838</v>
      </c>
      <c r="E12">
        <f t="shared" si="2"/>
        <v>1.97</v>
      </c>
    </row>
    <row r="13" spans="1:5" x14ac:dyDescent="0.25">
      <c r="A13">
        <f t="shared" si="1"/>
        <v>0.04</v>
      </c>
      <c r="D13">
        <f t="shared" si="0"/>
        <v>0.92260500757366359</v>
      </c>
      <c r="E13">
        <f t="shared" si="2"/>
        <v>1.96</v>
      </c>
    </row>
    <row r="14" spans="1:5" x14ac:dyDescent="0.25">
      <c r="A14">
        <f t="shared" si="1"/>
        <v>0.05</v>
      </c>
      <c r="D14">
        <f t="shared" si="0"/>
        <v>0.90415706600125623</v>
      </c>
      <c r="E14">
        <f t="shared" si="2"/>
        <v>1.95</v>
      </c>
    </row>
    <row r="15" spans="1:5" x14ac:dyDescent="0.25">
      <c r="A15">
        <f t="shared" si="1"/>
        <v>6.0000000000000005E-2</v>
      </c>
      <c r="D15">
        <f t="shared" si="0"/>
        <v>0.88611511667502885</v>
      </c>
      <c r="E15">
        <f t="shared" si="2"/>
        <v>1.94</v>
      </c>
    </row>
    <row r="16" spans="1:5" x14ac:dyDescent="0.25">
      <c r="A16">
        <f t="shared" si="1"/>
        <v>7.0000000000000007E-2</v>
      </c>
      <c r="D16">
        <f t="shared" si="0"/>
        <v>0.86850446170414108</v>
      </c>
      <c r="E16">
        <f t="shared" si="2"/>
        <v>1.93</v>
      </c>
    </row>
    <row r="17" spans="1:5" x14ac:dyDescent="0.25">
      <c r="A17">
        <f t="shared" si="1"/>
        <v>0.08</v>
      </c>
      <c r="D17">
        <f t="shared" si="0"/>
        <v>0.85135186615171055</v>
      </c>
      <c r="E17">
        <f t="shared" si="2"/>
        <v>1.9200000000000002</v>
      </c>
    </row>
    <row r="18" spans="1:5" x14ac:dyDescent="0.25">
      <c r="A18">
        <f t="shared" si="1"/>
        <v>0.09</v>
      </c>
      <c r="D18">
        <f t="shared" si="0"/>
        <v>0.83468556954100992</v>
      </c>
      <c r="E18">
        <f t="shared" si="2"/>
        <v>1.9100000000000001</v>
      </c>
    </row>
    <row r="19" spans="1:5" x14ac:dyDescent="0.25">
      <c r="A19">
        <f t="shared" si="1"/>
        <v>9.9999999999999992E-2</v>
      </c>
      <c r="D19">
        <f t="shared" si="0"/>
        <v>0.81853527718724506</v>
      </c>
      <c r="E19">
        <f t="shared" si="2"/>
        <v>1.9000000000000001</v>
      </c>
    </row>
    <row r="20" spans="1:5" x14ac:dyDescent="0.25">
      <c r="A20">
        <f t="shared" si="1"/>
        <v>0.10999999999999999</v>
      </c>
      <c r="D20">
        <f t="shared" si="0"/>
        <v>0.80293212664583302</v>
      </c>
      <c r="E20">
        <f t="shared" si="2"/>
        <v>1.8900000000000001</v>
      </c>
    </row>
    <row r="21" spans="1:5" x14ac:dyDescent="0.25">
      <c r="A21">
        <f t="shared" si="1"/>
        <v>0.11999999999999998</v>
      </c>
      <c r="D21">
        <f t="shared" si="0"/>
        <v>0.78790862414368834</v>
      </c>
      <c r="E21">
        <f t="shared" si="2"/>
        <v>1.88</v>
      </c>
    </row>
    <row r="22" spans="1:5" x14ac:dyDescent="0.25">
      <c r="A22">
        <f t="shared" si="1"/>
        <v>0.12999999999999998</v>
      </c>
      <c r="D22">
        <f t="shared" si="0"/>
        <v>0.77349854557070763</v>
      </c>
      <c r="E22">
        <f t="shared" si="2"/>
        <v>1.8699999999999999</v>
      </c>
    </row>
    <row r="23" spans="1:5" x14ac:dyDescent="0.25">
      <c r="A23">
        <f t="shared" si="1"/>
        <v>0.13999999999999999</v>
      </c>
      <c r="D23">
        <f t="shared" si="0"/>
        <v>0.75973679652890314</v>
      </c>
      <c r="E23">
        <f t="shared" si="2"/>
        <v>1.8599999999999999</v>
      </c>
    </row>
    <row r="24" spans="1:5" x14ac:dyDescent="0.25">
      <c r="A24">
        <f t="shared" si="1"/>
        <v>0.15</v>
      </c>
      <c r="D24">
        <f t="shared" si="0"/>
        <v>0.74665922615340385</v>
      </c>
      <c r="E24">
        <f t="shared" si="2"/>
        <v>1.8499999999999999</v>
      </c>
    </row>
    <row r="25" spans="1:5" x14ac:dyDescent="0.25">
      <c r="A25">
        <f t="shared" si="1"/>
        <v>0.16</v>
      </c>
      <c r="D25">
        <f t="shared" si="0"/>
        <v>0.73430239002743269</v>
      </c>
      <c r="E25">
        <f t="shared" si="2"/>
        <v>1.8399999999999999</v>
      </c>
    </row>
    <row r="26" spans="1:5" x14ac:dyDescent="0.25">
      <c r="A26">
        <f t="shared" si="1"/>
        <v>0.17</v>
      </c>
      <c r="D26">
        <f t="shared" si="0"/>
        <v>0.72270325860618612</v>
      </c>
      <c r="E26">
        <f t="shared" si="2"/>
        <v>1.8299999999999998</v>
      </c>
    </row>
    <row r="27" spans="1:5" x14ac:dyDescent="0.25">
      <c r="A27">
        <f t="shared" si="1"/>
        <v>0.18000000000000002</v>
      </c>
      <c r="D27">
        <f t="shared" si="0"/>
        <v>0.71189886922230738</v>
      </c>
      <c r="E27">
        <f t="shared" si="2"/>
        <v>1.8199999999999998</v>
      </c>
    </row>
    <row r="28" spans="1:5" x14ac:dyDescent="0.25">
      <c r="A28">
        <f t="shared" si="1"/>
        <v>0.19000000000000003</v>
      </c>
      <c r="D28">
        <f t="shared" si="0"/>
        <v>0.70192592201741633</v>
      </c>
      <c r="E28">
        <f t="shared" si="2"/>
        <v>1.8099999999999998</v>
      </c>
    </row>
    <row r="29" spans="1:5" x14ac:dyDescent="0.25">
      <c r="A29">
        <f t="shared" si="1"/>
        <v>0.20000000000000004</v>
      </c>
      <c r="D29">
        <f t="shared" si="0"/>
        <v>0.69282032302755081</v>
      </c>
      <c r="E29">
        <f t="shared" si="2"/>
        <v>1.7999999999999998</v>
      </c>
    </row>
    <row r="30" spans="1:5" x14ac:dyDescent="0.25">
      <c r="A30">
        <f t="shared" si="1"/>
        <v>0.21000000000000005</v>
      </c>
      <c r="D30">
        <f t="shared" si="0"/>
        <v>0.68461668107050966</v>
      </c>
      <c r="E30">
        <f t="shared" si="2"/>
        <v>1.7899999999999998</v>
      </c>
    </row>
    <row r="31" spans="1:5" x14ac:dyDescent="0.25">
      <c r="A31">
        <f t="shared" si="1"/>
        <v>0.22000000000000006</v>
      </c>
      <c r="D31">
        <f t="shared" si="0"/>
        <v>0.67734776887504389</v>
      </c>
      <c r="E31">
        <f t="shared" si="2"/>
        <v>1.7799999999999998</v>
      </c>
    </row>
    <row r="32" spans="1:5" x14ac:dyDescent="0.25">
      <c r="A32">
        <f t="shared" si="1"/>
        <v>0.23000000000000007</v>
      </c>
      <c r="D32">
        <f t="shared" si="0"/>
        <v>0.6710439627923046</v>
      </c>
      <c r="E32">
        <f t="shared" si="2"/>
        <v>1.7699999999999998</v>
      </c>
    </row>
    <row r="33" spans="1:5" x14ac:dyDescent="0.25">
      <c r="A33">
        <f t="shared" si="1"/>
        <v>0.24000000000000007</v>
      </c>
      <c r="D33">
        <f t="shared" si="0"/>
        <v>0.66573267908372946</v>
      </c>
      <c r="E33">
        <f t="shared" si="2"/>
        <v>1.7599999999999998</v>
      </c>
    </row>
    <row r="34" spans="1:5" x14ac:dyDescent="0.25">
      <c r="A34">
        <f t="shared" si="1"/>
        <v>0.25000000000000006</v>
      </c>
      <c r="D34">
        <f t="shared" si="0"/>
        <v>0.66143782776614768</v>
      </c>
      <c r="E34">
        <f t="shared" si="2"/>
        <v>1.75</v>
      </c>
    </row>
    <row r="35" spans="1:5" x14ac:dyDescent="0.25">
      <c r="A35">
        <f t="shared" si="1"/>
        <v>0.26000000000000006</v>
      </c>
      <c r="D35">
        <f t="shared" si="0"/>
        <v>0.65817930687617332</v>
      </c>
      <c r="E35">
        <f t="shared" si="2"/>
        <v>1.74</v>
      </c>
    </row>
    <row r="36" spans="1:5" x14ac:dyDescent="0.25">
      <c r="A36">
        <f t="shared" si="1"/>
        <v>0.27000000000000007</v>
      </c>
      <c r="D36">
        <f t="shared" si="0"/>
        <v>0.65597256040172891</v>
      </c>
      <c r="E36">
        <f t="shared" si="2"/>
        <v>1.73</v>
      </c>
    </row>
    <row r="37" spans="1:5" x14ac:dyDescent="0.25">
      <c r="A37">
        <f t="shared" si="1"/>
        <v>0.28000000000000008</v>
      </c>
      <c r="D37">
        <f t="shared" si="0"/>
        <v>0.65482822174979594</v>
      </c>
      <c r="E37">
        <f t="shared" si="2"/>
        <v>1.72</v>
      </c>
    </row>
    <row r="38" spans="1:5" x14ac:dyDescent="0.25">
      <c r="A38">
        <f t="shared" si="1"/>
        <v>0.29000000000000009</v>
      </c>
      <c r="D38">
        <f t="shared" si="0"/>
        <v>0.65475186139483421</v>
      </c>
      <c r="E38">
        <f t="shared" si="2"/>
        <v>1.71</v>
      </c>
    </row>
    <row r="39" spans="1:5" x14ac:dyDescent="0.25">
      <c r="A39">
        <f t="shared" si="1"/>
        <v>0.3000000000000001</v>
      </c>
      <c r="D39">
        <f t="shared" si="0"/>
        <v>0.65574385243020017</v>
      </c>
      <c r="E39">
        <f t="shared" si="2"/>
        <v>1.7</v>
      </c>
    </row>
    <row r="40" spans="1:5" x14ac:dyDescent="0.25">
      <c r="A40">
        <f t="shared" si="1"/>
        <v>0.31000000000000011</v>
      </c>
      <c r="D40">
        <f t="shared" si="0"/>
        <v>0.65779936150774743</v>
      </c>
      <c r="E40">
        <f t="shared" si="2"/>
        <v>1.69</v>
      </c>
    </row>
    <row r="41" spans="1:5" x14ac:dyDescent="0.25">
      <c r="A41">
        <f t="shared" si="1"/>
        <v>0.32000000000000012</v>
      </c>
      <c r="D41">
        <f t="shared" si="0"/>
        <v>0.66090846567433226</v>
      </c>
      <c r="E41">
        <f t="shared" si="2"/>
        <v>1.68</v>
      </c>
    </row>
    <row r="42" spans="1:5" x14ac:dyDescent="0.25">
      <c r="A42">
        <f t="shared" si="1"/>
        <v>0.33000000000000013</v>
      </c>
      <c r="D42">
        <f t="shared" si="0"/>
        <v>0.66505638858671234</v>
      </c>
      <c r="E42">
        <f t="shared" si="2"/>
        <v>1.67</v>
      </c>
    </row>
    <row r="43" spans="1:5" x14ac:dyDescent="0.25">
      <c r="A43">
        <f t="shared" si="1"/>
        <v>0.34000000000000014</v>
      </c>
      <c r="D43">
        <f t="shared" si="0"/>
        <v>0.67022384320464168</v>
      </c>
      <c r="E43">
        <f t="shared" si="2"/>
        <v>1.66</v>
      </c>
    </row>
    <row r="44" spans="1:5" x14ac:dyDescent="0.25">
      <c r="A44">
        <f t="shared" si="1"/>
        <v>0.35000000000000014</v>
      </c>
      <c r="D44">
        <f t="shared" si="0"/>
        <v>0.67638746292343432</v>
      </c>
      <c r="E44">
        <f t="shared" si="2"/>
        <v>1.65</v>
      </c>
    </row>
    <row r="45" spans="1:5" x14ac:dyDescent="0.25">
      <c r="A45">
        <f t="shared" si="1"/>
        <v>0.36000000000000015</v>
      </c>
      <c r="D45">
        <f t="shared" si="0"/>
        <v>0.68352029962540262</v>
      </c>
      <c r="E45">
        <f t="shared" si="2"/>
        <v>1.64</v>
      </c>
    </row>
    <row r="46" spans="1:5" x14ac:dyDescent="0.25">
      <c r="A46">
        <f t="shared" si="1"/>
        <v>0.37000000000000016</v>
      </c>
      <c r="D46">
        <f t="shared" si="0"/>
        <v>0.69159236548706948</v>
      </c>
      <c r="E46">
        <f t="shared" si="2"/>
        <v>1.63</v>
      </c>
    </row>
    <row r="47" spans="1:5" x14ac:dyDescent="0.25">
      <c r="A47">
        <f t="shared" si="1"/>
        <v>0.38000000000000017</v>
      </c>
      <c r="D47">
        <f t="shared" si="0"/>
        <v>0.70057119552547997</v>
      </c>
      <c r="E47">
        <f t="shared" si="2"/>
        <v>1.6199999999999999</v>
      </c>
    </row>
    <row r="48" spans="1:5" x14ac:dyDescent="0.25">
      <c r="A48">
        <f t="shared" si="1"/>
        <v>0.39000000000000018</v>
      </c>
      <c r="D48">
        <f t="shared" si="0"/>
        <v>0.71042240955645564</v>
      </c>
      <c r="E48">
        <f t="shared" si="2"/>
        <v>1.6099999999999999</v>
      </c>
    </row>
    <row r="49" spans="1:5" x14ac:dyDescent="0.25">
      <c r="A49">
        <f t="shared" si="1"/>
        <v>0.40000000000000019</v>
      </c>
      <c r="D49">
        <f t="shared" si="0"/>
        <v>0.72111025509279814</v>
      </c>
      <c r="E49">
        <f t="shared" si="2"/>
        <v>1.5999999999999999</v>
      </c>
    </row>
    <row r="50" spans="1:5" x14ac:dyDescent="0.25">
      <c r="A50">
        <f t="shared" si="1"/>
        <v>0.4100000000000002</v>
      </c>
      <c r="D50">
        <f t="shared" si="0"/>
        <v>0.73259811629569493</v>
      </c>
      <c r="E50">
        <f t="shared" si="2"/>
        <v>1.5899999999999999</v>
      </c>
    </row>
    <row r="51" spans="1:5" x14ac:dyDescent="0.25">
      <c r="A51">
        <f t="shared" si="1"/>
        <v>0.42000000000000021</v>
      </c>
      <c r="D51">
        <f t="shared" si="0"/>
        <v>0.74484897798144312</v>
      </c>
      <c r="E51">
        <f t="shared" si="2"/>
        <v>1.5799999999999998</v>
      </c>
    </row>
    <row r="52" spans="1:5" x14ac:dyDescent="0.25">
      <c r="A52">
        <f t="shared" si="1"/>
        <v>0.43000000000000022</v>
      </c>
      <c r="D52">
        <f t="shared" si="0"/>
        <v>0.7578258375114959</v>
      </c>
      <c r="E52">
        <f t="shared" si="2"/>
        <v>1.5699999999999998</v>
      </c>
    </row>
    <row r="53" spans="1:5" x14ac:dyDescent="0.25">
      <c r="A53">
        <f t="shared" si="1"/>
        <v>0.44000000000000022</v>
      </c>
      <c r="D53">
        <f t="shared" si="0"/>
        <v>0.77149206087943667</v>
      </c>
      <c r="E53">
        <f t="shared" si="2"/>
        <v>1.5599999999999998</v>
      </c>
    </row>
    <row r="54" spans="1:5" x14ac:dyDescent="0.25">
      <c r="A54">
        <f t="shared" si="1"/>
        <v>0.45000000000000023</v>
      </c>
      <c r="D54">
        <f t="shared" si="0"/>
        <v>0.78581168227508591</v>
      </c>
      <c r="E54">
        <f t="shared" si="2"/>
        <v>1.5499999999999998</v>
      </c>
    </row>
    <row r="55" spans="1:5" x14ac:dyDescent="0.25">
      <c r="A55">
        <f t="shared" si="1"/>
        <v>0.46000000000000024</v>
      </c>
      <c r="D55">
        <f t="shared" si="0"/>
        <v>0.80074964876670451</v>
      </c>
      <c r="E55">
        <f t="shared" si="2"/>
        <v>1.5399999999999998</v>
      </c>
    </row>
    <row r="56" spans="1:5" x14ac:dyDescent="0.25">
      <c r="A56">
        <f t="shared" si="1"/>
        <v>0.47000000000000025</v>
      </c>
      <c r="D56">
        <f t="shared" si="0"/>
        <v>0.81627201348570111</v>
      </c>
      <c r="E56">
        <f t="shared" si="2"/>
        <v>1.5299999999999998</v>
      </c>
    </row>
    <row r="57" spans="1:5" x14ac:dyDescent="0.25">
      <c r="A57">
        <f t="shared" si="1"/>
        <v>0.48000000000000026</v>
      </c>
      <c r="D57">
        <f t="shared" si="0"/>
        <v>0.8323460818673929</v>
      </c>
      <c r="E57">
        <f t="shared" si="2"/>
        <v>1.5199999999999998</v>
      </c>
    </row>
    <row r="58" spans="1:5" x14ac:dyDescent="0.25">
      <c r="A58">
        <f t="shared" si="1"/>
        <v>0.49000000000000027</v>
      </c>
      <c r="D58">
        <f t="shared" si="0"/>
        <v>0.84894051617295352</v>
      </c>
      <c r="E58">
        <f t="shared" si="2"/>
        <v>1.5099999999999998</v>
      </c>
    </row>
    <row r="59" spans="1:5" x14ac:dyDescent="0.25">
      <c r="A59">
        <f t="shared" si="1"/>
        <v>0.50000000000000022</v>
      </c>
      <c r="D59">
        <f t="shared" si="0"/>
        <v>0.86602540378443904</v>
      </c>
      <c r="E59">
        <f t="shared" si="2"/>
        <v>1.4999999999999998</v>
      </c>
    </row>
    <row r="60" spans="1:5" x14ac:dyDescent="0.25">
      <c r="A60">
        <f t="shared" si="1"/>
        <v>0.51000000000000023</v>
      </c>
      <c r="D60">
        <f t="shared" si="0"/>
        <v>0.88357229472183008</v>
      </c>
      <c r="E60">
        <f t="shared" si="2"/>
        <v>1.4899999999999998</v>
      </c>
    </row>
    <row r="61" spans="1:5" x14ac:dyDescent="0.25">
      <c r="A61">
        <f t="shared" si="1"/>
        <v>0.52000000000000024</v>
      </c>
      <c r="D61">
        <f t="shared" si="0"/>
        <v>0.90155421356677201</v>
      </c>
      <c r="E61">
        <f t="shared" si="2"/>
        <v>1.4799999999999998</v>
      </c>
    </row>
    <row r="62" spans="1:5" x14ac:dyDescent="0.25">
      <c r="A62">
        <f t="shared" si="1"/>
        <v>0.53000000000000025</v>
      </c>
      <c r="D62">
        <f t="shared" si="0"/>
        <v>0.91994565056855448</v>
      </c>
      <c r="E62">
        <f t="shared" si="2"/>
        <v>1.4699999999999998</v>
      </c>
    </row>
    <row r="63" spans="1:5" x14ac:dyDescent="0.25">
      <c r="A63">
        <f t="shared" si="1"/>
        <v>0.54000000000000026</v>
      </c>
      <c r="D63">
        <f t="shared" si="0"/>
        <v>0.93872253621610746</v>
      </c>
      <c r="E63">
        <f t="shared" si="2"/>
        <v>1.4599999999999997</v>
      </c>
    </row>
    <row r="64" spans="1:5" x14ac:dyDescent="0.25">
      <c r="A64">
        <f t="shared" si="1"/>
        <v>0.55000000000000027</v>
      </c>
      <c r="D64">
        <f t="shared" si="0"/>
        <v>0.9578622030334013</v>
      </c>
      <c r="E64">
        <f t="shared" si="2"/>
        <v>1.4499999999999997</v>
      </c>
    </row>
    <row r="65" spans="1:5" x14ac:dyDescent="0.25">
      <c r="A65">
        <f t="shared" si="1"/>
        <v>0.56000000000000028</v>
      </c>
      <c r="D65">
        <f t="shared" si="0"/>
        <v>0.97734333782964988</v>
      </c>
      <c r="E65">
        <f t="shared" si="2"/>
        <v>1.4399999999999997</v>
      </c>
    </row>
    <row r="66" spans="1:5" x14ac:dyDescent="0.25">
      <c r="A66">
        <f t="shared" si="1"/>
        <v>0.57000000000000028</v>
      </c>
      <c r="D66">
        <f t="shared" si="0"/>
        <v>0.99714592713403838</v>
      </c>
      <c r="E66">
        <f t="shared" si="2"/>
        <v>1.4299999999999997</v>
      </c>
    </row>
    <row r="67" spans="1:5" x14ac:dyDescent="0.25">
      <c r="A67">
        <f t="shared" si="1"/>
        <v>0.58000000000000029</v>
      </c>
      <c r="D67">
        <f t="shared" si="0"/>
        <v>1.0172511980823622</v>
      </c>
      <c r="E67">
        <f t="shared" si="2"/>
        <v>1.4199999999999997</v>
      </c>
    </row>
    <row r="68" spans="1:5" x14ac:dyDescent="0.25">
      <c r="A68">
        <f t="shared" si="1"/>
        <v>0.5900000000000003</v>
      </c>
      <c r="D68">
        <f t="shared" si="0"/>
        <v>1.0376415566080617</v>
      </c>
      <c r="E68">
        <f t="shared" si="2"/>
        <v>1.4099999999999997</v>
      </c>
    </row>
    <row r="69" spans="1:5" x14ac:dyDescent="0.25">
      <c r="A69">
        <f t="shared" si="1"/>
        <v>0.60000000000000031</v>
      </c>
      <c r="D69">
        <f t="shared" si="0"/>
        <v>1.058300524425837</v>
      </c>
      <c r="E69">
        <f t="shared" si="2"/>
        <v>1.3999999999999997</v>
      </c>
    </row>
    <row r="70" spans="1:5" x14ac:dyDescent="0.25">
      <c r="A70">
        <f t="shared" si="1"/>
        <v>0.61000000000000032</v>
      </c>
      <c r="D70">
        <f t="shared" si="0"/>
        <v>1.0792126759818943</v>
      </c>
      <c r="E70">
        <f t="shared" si="2"/>
        <v>1.3899999999999997</v>
      </c>
    </row>
    <row r="71" spans="1:5" x14ac:dyDescent="0.25">
      <c r="A71">
        <f t="shared" si="1"/>
        <v>0.62000000000000033</v>
      </c>
      <c r="D71">
        <f t="shared" si="0"/>
        <v>1.1003635762783142</v>
      </c>
      <c r="E71">
        <f t="shared" si="2"/>
        <v>1.3799999999999997</v>
      </c>
    </row>
    <row r="72" spans="1:5" x14ac:dyDescent="0.25">
      <c r="A72">
        <f t="shared" si="1"/>
        <v>0.63000000000000034</v>
      </c>
      <c r="D72">
        <f t="shared" si="0"/>
        <v>1.1217397202559967</v>
      </c>
      <c r="E72">
        <f t="shared" si="2"/>
        <v>1.3699999999999997</v>
      </c>
    </row>
    <row r="73" spans="1:5" x14ac:dyDescent="0.25">
      <c r="A73">
        <f t="shared" si="1"/>
        <v>0.64000000000000035</v>
      </c>
      <c r="D73">
        <f t="shared" si="0"/>
        <v>1.1433284742365168</v>
      </c>
      <c r="E73">
        <f t="shared" si="2"/>
        <v>1.3599999999999997</v>
      </c>
    </row>
    <row r="74" spans="1:5" x14ac:dyDescent="0.25">
      <c r="A74">
        <f t="shared" si="1"/>
        <v>0.65000000000000036</v>
      </c>
      <c r="D74">
        <f t="shared" ref="D74:D108" si="3">SQRT(A74^2*$B$3^2+(1-A74)^2*$B$4^2+2*A74*(1-A74)*$B$5*$B$3*$B$4)</f>
        <v>1.1651180197731053</v>
      </c>
      <c r="E74">
        <f t="shared" si="2"/>
        <v>1.3499999999999996</v>
      </c>
    </row>
    <row r="75" spans="1:5" x14ac:dyDescent="0.25">
      <c r="A75">
        <f t="shared" ref="A75:A108" si="4">A74+0.01</f>
        <v>0.66000000000000036</v>
      </c>
      <c r="D75">
        <f t="shared" si="3"/>
        <v>1.1870973001401368</v>
      </c>
      <c r="E75">
        <f t="shared" ref="E75:E108" si="5">A75*$B$1+(1-A75)*$B$2</f>
        <v>1.3399999999999996</v>
      </c>
    </row>
    <row r="76" spans="1:5" x14ac:dyDescent="0.25">
      <c r="A76">
        <f t="shared" si="4"/>
        <v>0.67000000000000037</v>
      </c>
      <c r="D76">
        <f t="shared" si="3"/>
        <v>1.209255969594528</v>
      </c>
      <c r="E76">
        <f t="shared" si="5"/>
        <v>1.3299999999999996</v>
      </c>
    </row>
    <row r="77" spans="1:5" x14ac:dyDescent="0.25">
      <c r="A77">
        <f t="shared" si="4"/>
        <v>0.68000000000000038</v>
      </c>
      <c r="D77">
        <f t="shared" si="3"/>
        <v>1.231584345467253</v>
      </c>
      <c r="E77">
        <f t="shared" si="5"/>
        <v>1.3199999999999996</v>
      </c>
    </row>
    <row r="78" spans="1:5" x14ac:dyDescent="0.25">
      <c r="A78">
        <f t="shared" si="4"/>
        <v>0.69000000000000039</v>
      </c>
      <c r="D78">
        <f t="shared" si="3"/>
        <v>1.2540733630852712</v>
      </c>
      <c r="E78">
        <f t="shared" si="5"/>
        <v>1.3099999999999996</v>
      </c>
    </row>
    <row r="79" spans="1:5" x14ac:dyDescent="0.25">
      <c r="A79">
        <f t="shared" si="4"/>
        <v>0.7000000000000004</v>
      </c>
      <c r="D79">
        <f t="shared" si="3"/>
        <v>1.2767145334803713</v>
      </c>
      <c r="E79">
        <f t="shared" si="5"/>
        <v>1.2999999999999996</v>
      </c>
    </row>
    <row r="80" spans="1:5" x14ac:dyDescent="0.25">
      <c r="A80">
        <f t="shared" si="4"/>
        <v>0.71000000000000041</v>
      </c>
      <c r="D80">
        <f t="shared" si="3"/>
        <v>1.2994999038091546</v>
      </c>
      <c r="E80">
        <f t="shared" si="5"/>
        <v>1.2899999999999996</v>
      </c>
    </row>
    <row r="81" spans="1:5" x14ac:dyDescent="0.25">
      <c r="A81">
        <f t="shared" si="4"/>
        <v>0.72000000000000042</v>
      </c>
      <c r="D81">
        <f t="shared" si="3"/>
        <v>1.3224220203853243</v>
      </c>
      <c r="E81">
        <f t="shared" si="5"/>
        <v>1.2799999999999996</v>
      </c>
    </row>
    <row r="82" spans="1:5" x14ac:dyDescent="0.25">
      <c r="A82">
        <f t="shared" si="4"/>
        <v>0.73000000000000043</v>
      </c>
      <c r="D82">
        <f t="shared" si="3"/>
        <v>1.3454738942097697</v>
      </c>
      <c r="E82">
        <f t="shared" si="5"/>
        <v>1.2699999999999996</v>
      </c>
    </row>
    <row r="83" spans="1:5" x14ac:dyDescent="0.25">
      <c r="A83">
        <f t="shared" si="4"/>
        <v>0.74000000000000044</v>
      </c>
      <c r="D83">
        <f t="shared" si="3"/>
        <v>1.3686489688740509</v>
      </c>
      <c r="E83">
        <f t="shared" si="5"/>
        <v>1.2599999999999996</v>
      </c>
    </row>
    <row r="84" spans="1:5" x14ac:dyDescent="0.25">
      <c r="A84">
        <f t="shared" si="4"/>
        <v>0.75000000000000044</v>
      </c>
      <c r="D84">
        <f t="shared" si="3"/>
        <v>1.3919410907075065</v>
      </c>
      <c r="E84">
        <f t="shared" si="5"/>
        <v>1.2499999999999996</v>
      </c>
    </row>
    <row r="85" spans="1:5" x14ac:dyDescent="0.25">
      <c r="A85">
        <f t="shared" si="4"/>
        <v>0.76000000000000045</v>
      </c>
      <c r="D85">
        <f t="shared" si="3"/>
        <v>1.4153444810363318</v>
      </c>
      <c r="E85">
        <f t="shared" si="5"/>
        <v>1.2399999999999995</v>
      </c>
    </row>
    <row r="86" spans="1:5" x14ac:dyDescent="0.25">
      <c r="A86">
        <f t="shared" si="4"/>
        <v>0.77000000000000046</v>
      </c>
      <c r="D86">
        <f t="shared" si="3"/>
        <v>1.4388537104236843</v>
      </c>
      <c r="E86">
        <f t="shared" si="5"/>
        <v>1.2299999999999995</v>
      </c>
    </row>
    <row r="87" spans="1:5" x14ac:dyDescent="0.25">
      <c r="A87">
        <f t="shared" si="4"/>
        <v>0.78000000000000047</v>
      </c>
      <c r="D87">
        <f t="shared" si="3"/>
        <v>1.4624636747625575</v>
      </c>
      <c r="E87">
        <f t="shared" si="5"/>
        <v>1.2199999999999995</v>
      </c>
    </row>
    <row r="88" spans="1:5" x14ac:dyDescent="0.25">
      <c r="A88">
        <f t="shared" si="4"/>
        <v>0.79000000000000048</v>
      </c>
      <c r="D88">
        <f t="shared" si="3"/>
        <v>1.4861695730972302</v>
      </c>
      <c r="E88">
        <f t="shared" si="5"/>
        <v>1.2099999999999995</v>
      </c>
    </row>
    <row r="89" spans="1:5" x14ac:dyDescent="0.25">
      <c r="A89">
        <f t="shared" si="4"/>
        <v>0.80000000000000049</v>
      </c>
      <c r="D89">
        <f t="shared" si="3"/>
        <v>1.5099668870541509</v>
      </c>
      <c r="E89">
        <f t="shared" si="5"/>
        <v>1.1999999999999995</v>
      </c>
    </row>
    <row r="90" spans="1:5" x14ac:dyDescent="0.25">
      <c r="A90">
        <f t="shared" si="4"/>
        <v>0.8100000000000005</v>
      </c>
      <c r="D90">
        <f t="shared" si="3"/>
        <v>1.5338513617688005</v>
      </c>
      <c r="E90">
        <f t="shared" si="5"/>
        <v>1.1899999999999995</v>
      </c>
    </row>
    <row r="91" spans="1:5" x14ac:dyDescent="0.25">
      <c r="A91">
        <f t="shared" si="4"/>
        <v>0.82000000000000051</v>
      </c>
      <c r="D91">
        <f t="shared" si="3"/>
        <v>1.5578189882011335</v>
      </c>
      <c r="E91">
        <f t="shared" si="5"/>
        <v>1.1799999999999995</v>
      </c>
    </row>
    <row r="92" spans="1:5" x14ac:dyDescent="0.25">
      <c r="A92">
        <f t="shared" si="4"/>
        <v>0.83000000000000052</v>
      </c>
      <c r="D92">
        <f t="shared" si="3"/>
        <v>1.5818659867384479</v>
      </c>
      <c r="E92">
        <f t="shared" si="5"/>
        <v>1.1699999999999995</v>
      </c>
    </row>
    <row r="93" spans="1:5" x14ac:dyDescent="0.25">
      <c r="A93">
        <f t="shared" si="4"/>
        <v>0.84000000000000052</v>
      </c>
      <c r="D93">
        <f t="shared" si="3"/>
        <v>1.6059887919907798</v>
      </c>
      <c r="E93">
        <f t="shared" si="5"/>
        <v>1.1599999999999995</v>
      </c>
    </row>
    <row r="94" spans="1:5" x14ac:dyDescent="0.25">
      <c r="A94">
        <f t="shared" si="4"/>
        <v>0.85000000000000053</v>
      </c>
      <c r="D94">
        <f t="shared" si="3"/>
        <v>1.6301840386901119</v>
      </c>
      <c r="E94">
        <f t="shared" si="5"/>
        <v>1.1499999999999995</v>
      </c>
    </row>
    <row r="95" spans="1:5" x14ac:dyDescent="0.25">
      <c r="A95">
        <f t="shared" si="4"/>
        <v>0.86000000000000054</v>
      </c>
      <c r="D95">
        <f t="shared" si="3"/>
        <v>1.6544485486106857</v>
      </c>
      <c r="E95">
        <f t="shared" si="5"/>
        <v>1.1399999999999995</v>
      </c>
    </row>
    <row r="96" spans="1:5" x14ac:dyDescent="0.25">
      <c r="A96">
        <f t="shared" si="4"/>
        <v>0.87000000000000055</v>
      </c>
      <c r="D96">
        <f t="shared" si="3"/>
        <v>1.6787793184334874</v>
      </c>
      <c r="E96">
        <f t="shared" si="5"/>
        <v>1.1299999999999994</v>
      </c>
    </row>
    <row r="97" spans="1:5" x14ac:dyDescent="0.25">
      <c r="A97">
        <f t="shared" si="4"/>
        <v>0.88000000000000056</v>
      </c>
      <c r="D97">
        <f t="shared" si="3"/>
        <v>1.7031735084835029</v>
      </c>
      <c r="E97">
        <f t="shared" si="5"/>
        <v>1.1199999999999994</v>
      </c>
    </row>
    <row r="98" spans="1:5" x14ac:dyDescent="0.25">
      <c r="A98">
        <f t="shared" si="4"/>
        <v>0.89000000000000057</v>
      </c>
      <c r="D98">
        <f t="shared" si="3"/>
        <v>1.7276284322735618</v>
      </c>
      <c r="E98">
        <f t="shared" si="5"/>
        <v>1.1099999999999994</v>
      </c>
    </row>
    <row r="99" spans="1:5" x14ac:dyDescent="0.25">
      <c r="A99">
        <f t="shared" si="4"/>
        <v>0.90000000000000058</v>
      </c>
      <c r="D99">
        <f t="shared" si="3"/>
        <v>1.7521415467935246</v>
      </c>
      <c r="E99">
        <f t="shared" si="5"/>
        <v>1.0999999999999994</v>
      </c>
    </row>
    <row r="100" spans="1:5" x14ac:dyDescent="0.25">
      <c r="A100">
        <f t="shared" si="4"/>
        <v>0.91000000000000059</v>
      </c>
      <c r="D100">
        <f t="shared" si="3"/>
        <v>1.7767104434881913</v>
      </c>
      <c r="E100">
        <f t="shared" si="5"/>
        <v>1.0899999999999994</v>
      </c>
    </row>
    <row r="101" spans="1:5" x14ac:dyDescent="0.25">
      <c r="A101">
        <f t="shared" si="4"/>
        <v>0.9200000000000006</v>
      </c>
      <c r="D101">
        <f t="shared" si="3"/>
        <v>1.8013328398716337</v>
      </c>
      <c r="E101">
        <f t="shared" si="5"/>
        <v>1.0799999999999994</v>
      </c>
    </row>
    <row r="102" spans="1:5" x14ac:dyDescent="0.25">
      <c r="A102">
        <f t="shared" si="4"/>
        <v>0.9300000000000006</v>
      </c>
      <c r="D102">
        <f t="shared" si="3"/>
        <v>1.8260065717296874</v>
      </c>
      <c r="E102">
        <f t="shared" si="5"/>
        <v>1.0699999999999994</v>
      </c>
    </row>
    <row r="103" spans="1:5" x14ac:dyDescent="0.25">
      <c r="A103">
        <f t="shared" si="4"/>
        <v>0.94000000000000061</v>
      </c>
      <c r="D103">
        <f t="shared" si="3"/>
        <v>1.8507295858660728</v>
      </c>
      <c r="E103">
        <f t="shared" si="5"/>
        <v>1.0599999999999994</v>
      </c>
    </row>
    <row r="104" spans="1:5" x14ac:dyDescent="0.25">
      <c r="A104">
        <f t="shared" si="4"/>
        <v>0.95000000000000062</v>
      </c>
      <c r="D104">
        <f t="shared" si="3"/>
        <v>1.8754999333511067</v>
      </c>
      <c r="E104">
        <f t="shared" si="5"/>
        <v>1.0499999999999994</v>
      </c>
    </row>
    <row r="105" spans="1:5" x14ac:dyDescent="0.25">
      <c r="A105">
        <f t="shared" si="4"/>
        <v>0.96000000000000063</v>
      </c>
      <c r="D105">
        <f t="shared" si="3"/>
        <v>1.9003157632351539</v>
      </c>
      <c r="E105">
        <f t="shared" si="5"/>
        <v>1.0399999999999994</v>
      </c>
    </row>
    <row r="106" spans="1:5" x14ac:dyDescent="0.25">
      <c r="A106">
        <f t="shared" si="4"/>
        <v>0.97000000000000064</v>
      </c>
      <c r="D106">
        <f t="shared" si="3"/>
        <v>1.9251753166919647</v>
      </c>
      <c r="E106">
        <f t="shared" si="5"/>
        <v>1.0299999999999994</v>
      </c>
    </row>
    <row r="107" spans="1:5" x14ac:dyDescent="0.25">
      <c r="A107">
        <f t="shared" si="4"/>
        <v>0.98000000000000065</v>
      </c>
      <c r="D107">
        <f t="shared" si="3"/>
        <v>1.950076921559764</v>
      </c>
      <c r="E107">
        <f t="shared" si="5"/>
        <v>1.0199999999999994</v>
      </c>
    </row>
    <row r="108" spans="1:5" x14ac:dyDescent="0.25">
      <c r="A108">
        <f t="shared" si="4"/>
        <v>0.99000000000000066</v>
      </c>
      <c r="D108">
        <f t="shared" si="3"/>
        <v>1.975018987250504</v>
      </c>
      <c r="E108">
        <f t="shared" si="5"/>
        <v>1.0099999999999993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EffektivePorteføljer</vt:lpstr>
    </vt:vector>
  </TitlesOfParts>
  <Company>Norges Handelshoyskole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Ole-Andreas Halse Næss</dc:creator>
  <cp:lastModifiedBy>Ole-Andreas Næss</cp:lastModifiedBy>
  <dcterms:created xsi:type="dcterms:W3CDTF">2019-09-28T09:39:13Z</dcterms:created>
  <dcterms:modified xsi:type="dcterms:W3CDTF">2024-02-01T08:07:17Z</dcterms:modified>
</cp:coreProperties>
</file>