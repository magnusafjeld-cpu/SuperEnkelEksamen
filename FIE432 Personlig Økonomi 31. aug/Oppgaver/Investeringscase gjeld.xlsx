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hhit-my.sharepoint.com/personal/guttorm_schjelderup_nhh_no/Documents/ASchjelderup/0FIE432 Personlig økonomi/2023/Oppgaver/"/>
    </mc:Choice>
  </mc:AlternateContent>
  <xr:revisionPtr revIDLastSave="9" documentId="8_{4D76E82C-4392-4146-9A8E-7113FF3D5492}" xr6:coauthVersionLast="47" xr6:coauthVersionMax="47" xr10:uidLastSave="{FC83D451-7555-47EF-B890-017CD8B7ED09}"/>
  <bookViews>
    <workbookView xWindow="25500" yWindow="0" windowWidth="25800" windowHeight="20985" xr2:uid="{A24858E9-A6B6-448D-BCFA-102E3419A2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4" i="1"/>
  <c r="B5" i="1"/>
  <c r="B6" i="1"/>
  <c r="B3" i="1"/>
</calcChain>
</file>

<file path=xl/sharedStrings.xml><?xml version="1.0" encoding="utf-8"?>
<sst xmlns="http://schemas.openxmlformats.org/spreadsheetml/2006/main" count="6" uniqueCount="6">
  <si>
    <t>EK-Investering</t>
  </si>
  <si>
    <t>Nåverdi leieinntekt - renter alle tre år dikontert</t>
  </si>
  <si>
    <t>Skatt på slagsgevinst diskontert</t>
  </si>
  <si>
    <t xml:space="preserve">NV salgssum leilighet diskontert </t>
  </si>
  <si>
    <t>Nedbetaling hovedstol (lån) diskontert</t>
  </si>
  <si>
    <t>Nåverdi av strømmene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</si>
</sst>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3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41100-041B-4717-837E-D04C6F085F90}">
  <dimension ref="A2:B7"/>
  <sheetViews>
    <sheetView tabSelected="1" workbookViewId="0">
      <selection activeCell="E7" sqref="E7"/>
    </sheetView>
  </sheetViews>
  <sheetFormatPr defaultRowHeight="15" x14ac:dyDescent="0.25"/>
  <cols>
    <col min="1" max="1" width="45.5703125" customWidth="1"/>
    <col min="2" max="2" width="32.5703125" customWidth="1"/>
  </cols>
  <sheetData>
    <row r="2" spans="1:2" x14ac:dyDescent="0.25">
      <c r="A2" t="s">
        <v>0</v>
      </c>
      <c r="B2" s="2">
        <v>1100000</v>
      </c>
    </row>
    <row r="3" spans="1:2" x14ac:dyDescent="0.25">
      <c r="A3" t="s">
        <v>1</v>
      </c>
      <c r="B3" s="3">
        <f>(49369+47931+46523)</f>
        <v>143823</v>
      </c>
    </row>
    <row r="4" spans="1:2" x14ac:dyDescent="0.25">
      <c r="A4" t="s">
        <v>2</v>
      </c>
      <c r="B4" s="3">
        <f>(6100000*1.18-6100000)*0.22/1.092727</f>
        <v>221061.61923334922</v>
      </c>
    </row>
    <row r="5" spans="1:2" x14ac:dyDescent="0.25">
      <c r="A5" t="s">
        <v>3</v>
      </c>
      <c r="B5">
        <f>(6100000*1.18 /1.092727)</f>
        <v>6587189.6640240429</v>
      </c>
    </row>
    <row r="6" spans="1:2" x14ac:dyDescent="0.25">
      <c r="A6" t="s">
        <v>4</v>
      </c>
      <c r="B6" s="3">
        <f>(5000000/1.092727)</f>
        <v>4575708.2967657978</v>
      </c>
    </row>
    <row r="7" spans="1:2" x14ac:dyDescent="0.25">
      <c r="A7" t="s">
        <v>5</v>
      </c>
      <c r="B7" s="1">
        <f>(B5-B6-B4-B3-B2)</f>
        <v>546596.74802489579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Guttorm Schjelderup</dc:creator>
  <cp:lastModifiedBy>Guttorm Schjelderup</cp:lastModifiedBy>
  <dcterms:created xsi:type="dcterms:W3CDTF">2023-09-26T11:49:52Z</dcterms:created>
  <dcterms:modified xsi:type="dcterms:W3CDTF">2023-09-26T12:28:24Z</dcterms:modified>
</cp:coreProperties>
</file>